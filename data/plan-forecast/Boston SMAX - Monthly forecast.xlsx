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cast" sheetId="1" r:id="rId4"/>
  </sheets>
  <definedNames/>
  <calcPr/>
  <extLst>
    <ext uri="GoogleSheetsCustomDataVersion2">
      <go:sheetsCustomData xmlns:go="http://customooxmlschemas.google.com/" r:id="rId5" roundtripDataChecksum="1OlllLwn2MGTGxcElsFZfueftFyY8UvNtY3kI4XSqYU="/>
    </ext>
  </extLst>
</workbook>
</file>

<file path=xl/sharedStrings.xml><?xml version="1.0" encoding="utf-8"?>
<sst xmlns="http://schemas.openxmlformats.org/spreadsheetml/2006/main" count="27" uniqueCount="21">
  <si>
    <t>Boston Forecast - 202021</t>
  </si>
  <si>
    <t>Resource</t>
  </si>
  <si>
    <t>forecast</t>
  </si>
  <si>
    <t>Total</t>
  </si>
  <si>
    <t>TOTAL HOURS PER MONTH</t>
  </si>
  <si>
    <t xml:space="preserve">Resource name </t>
  </si>
  <si>
    <t xml:space="preserve">Rate </t>
  </si>
  <si>
    <t>Cost</t>
  </si>
  <si>
    <t>Customer Proj/Prgm Mgr - Sr. Consultant (Singapore)</t>
  </si>
  <si>
    <t>Joseph</t>
  </si>
  <si>
    <t>Info Systems Architect - Sr. Consultant (COE India)</t>
  </si>
  <si>
    <t>Darwin</t>
  </si>
  <si>
    <t>Technology Consultant - Associate (Singapore)</t>
  </si>
  <si>
    <t xml:space="preserve">Chen Chao </t>
  </si>
  <si>
    <t>Technology Consultant - Sr. Consultant (COE India)</t>
  </si>
  <si>
    <t>Nathaniel</t>
  </si>
  <si>
    <t>Technology Consultant - Consultant (COE India)</t>
  </si>
  <si>
    <t>Guan Xun</t>
  </si>
  <si>
    <t>James</t>
  </si>
  <si>
    <t>Nick</t>
  </si>
  <si>
    <t xml:space="preserve">Roberta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</si>
</sst>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Arial"/>
    </font>
    <font>
      <color rgb="FF54698D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7F9FB"/>
        <bgColor rgb="FFF7F9FB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1" fillId="2" fontId="2" numFmtId="164" xfId="0" applyAlignment="1" applyBorder="1" applyFill="1" applyFont="1" applyNumberFormat="1">
      <alignment horizontal="center" readingOrder="0" vertical="bottom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13"/>
    <col customWidth="1" min="10" max="10" width="9.0"/>
  </cols>
  <sheetData>
    <row r="1" ht="15.75" customHeight="1">
      <c r="A1" s="1" t="s">
        <v>0</v>
      </c>
      <c r="B1" s="2"/>
      <c r="C1" s="2"/>
      <c r="D1" s="2"/>
      <c r="E1" s="3">
        <v>46143.0</v>
      </c>
      <c r="F1" s="3">
        <v>46174.0</v>
      </c>
      <c r="G1" s="3">
        <v>46204.0</v>
      </c>
      <c r="H1" s="3">
        <v>46235.0</v>
      </c>
      <c r="I1" s="3">
        <v>46266.0</v>
      </c>
    </row>
    <row r="2" ht="15.75" customHeight="1">
      <c r="A2" s="4"/>
      <c r="B2" s="2"/>
      <c r="C2" s="2"/>
      <c r="D2" s="2"/>
      <c r="E2" s="2"/>
      <c r="F2" s="2"/>
      <c r="G2" s="2"/>
      <c r="H2" s="2"/>
    </row>
    <row r="3" ht="15.75" customHeight="1">
      <c r="A3" s="4" t="s">
        <v>1</v>
      </c>
      <c r="B3" s="4"/>
      <c r="C3" s="4"/>
      <c r="D3" s="4"/>
      <c r="E3" s="1" t="s">
        <v>2</v>
      </c>
      <c r="F3" s="4" t="s">
        <v>2</v>
      </c>
      <c r="G3" s="4" t="s">
        <v>2</v>
      </c>
      <c r="H3" s="4" t="s">
        <v>2</v>
      </c>
      <c r="J3" s="5" t="s">
        <v>3</v>
      </c>
    </row>
    <row r="4" ht="15.75" customHeight="1">
      <c r="A4" s="4" t="s">
        <v>4</v>
      </c>
      <c r="B4" s="1" t="s">
        <v>5</v>
      </c>
      <c r="C4" s="1" t="s">
        <v>6</v>
      </c>
      <c r="D4" s="1" t="s">
        <v>7</v>
      </c>
      <c r="E4" s="4">
        <f t="shared" ref="E4:J4" si="1">sum(E5:E12)</f>
        <v>260</v>
      </c>
      <c r="F4" s="4">
        <f t="shared" si="1"/>
        <v>740</v>
      </c>
      <c r="G4" s="4">
        <f t="shared" si="1"/>
        <v>730</v>
      </c>
      <c r="H4" s="4">
        <f t="shared" si="1"/>
        <v>460</v>
      </c>
      <c r="I4" s="4">
        <f t="shared" si="1"/>
        <v>244</v>
      </c>
      <c r="J4" s="4">
        <f t="shared" si="1"/>
        <v>2434</v>
      </c>
    </row>
    <row r="5" ht="15.75" customHeight="1">
      <c r="A5" s="4" t="s">
        <v>8</v>
      </c>
      <c r="B5" s="1" t="s">
        <v>9</v>
      </c>
      <c r="C5" s="1">
        <v>253.0</v>
      </c>
      <c r="D5" s="1">
        <v>125.0</v>
      </c>
      <c r="E5" s="1">
        <v>20.0</v>
      </c>
      <c r="F5" s="1">
        <v>20.0</v>
      </c>
      <c r="G5" s="1">
        <v>30.0</v>
      </c>
      <c r="H5" s="1">
        <v>40.0</v>
      </c>
      <c r="I5" s="5">
        <v>10.0</v>
      </c>
      <c r="J5" s="5">
        <f t="shared" ref="J5:J12" si="2">sum(E5:I5)</f>
        <v>120</v>
      </c>
    </row>
    <row r="6" ht="15.75" customHeight="1">
      <c r="A6" s="4" t="s">
        <v>10</v>
      </c>
      <c r="B6" s="1" t="s">
        <v>11</v>
      </c>
      <c r="C6" s="1">
        <v>63.45</v>
      </c>
      <c r="D6" s="1">
        <v>33.0</v>
      </c>
      <c r="E6" s="1">
        <v>80.0</v>
      </c>
      <c r="F6" s="4">
        <v>80.0</v>
      </c>
      <c r="G6" s="1">
        <v>80.0</v>
      </c>
      <c r="H6" s="1">
        <v>60.0</v>
      </c>
      <c r="I6" s="5">
        <v>20.0</v>
      </c>
      <c r="J6" s="5">
        <f t="shared" si="2"/>
        <v>320</v>
      </c>
    </row>
    <row r="7" ht="15.75" customHeight="1">
      <c r="A7" s="4" t="s">
        <v>12</v>
      </c>
      <c r="B7" s="1" t="s">
        <v>13</v>
      </c>
      <c r="C7" s="1">
        <v>186.0</v>
      </c>
      <c r="D7" s="1">
        <v>100.0</v>
      </c>
      <c r="E7" s="4">
        <v>40.0</v>
      </c>
      <c r="F7" s="1">
        <v>120.0</v>
      </c>
      <c r="G7" s="1">
        <v>100.0</v>
      </c>
      <c r="H7" s="1">
        <v>60.0</v>
      </c>
      <c r="I7" s="5">
        <v>40.0</v>
      </c>
      <c r="J7" s="5">
        <f t="shared" si="2"/>
        <v>360</v>
      </c>
    </row>
    <row r="8" ht="15.75" customHeight="1">
      <c r="A8" s="4" t="s">
        <v>14</v>
      </c>
      <c r="B8" s="1" t="s">
        <v>15</v>
      </c>
      <c r="C8" s="1">
        <v>64.0</v>
      </c>
      <c r="D8" s="1">
        <v>35.0</v>
      </c>
      <c r="E8" s="1">
        <v>60.0</v>
      </c>
      <c r="F8" s="1">
        <v>120.0</v>
      </c>
      <c r="G8" s="1">
        <v>120.0</v>
      </c>
      <c r="H8" s="1">
        <v>50.0</v>
      </c>
      <c r="I8" s="5">
        <v>60.0</v>
      </c>
      <c r="J8" s="5">
        <f t="shared" si="2"/>
        <v>410</v>
      </c>
    </row>
    <row r="9" ht="15.75" customHeight="1">
      <c r="A9" s="4" t="s">
        <v>16</v>
      </c>
      <c r="B9" s="1" t="s">
        <v>17</v>
      </c>
      <c r="C9" s="1">
        <v>36.0</v>
      </c>
      <c r="D9" s="1">
        <v>18.0</v>
      </c>
      <c r="E9" s="1">
        <v>20.0</v>
      </c>
      <c r="F9" s="1">
        <v>120.0</v>
      </c>
      <c r="G9" s="1">
        <v>120.0</v>
      </c>
      <c r="H9" s="1">
        <v>60.0</v>
      </c>
      <c r="I9" s="5">
        <v>40.0</v>
      </c>
      <c r="J9" s="5">
        <f t="shared" si="2"/>
        <v>360</v>
      </c>
    </row>
    <row r="10" ht="15.75" customHeight="1">
      <c r="A10" s="4" t="s">
        <v>16</v>
      </c>
      <c r="B10" s="1" t="s">
        <v>18</v>
      </c>
      <c r="C10" s="1">
        <v>36.0</v>
      </c>
      <c r="D10" s="1">
        <v>22.0</v>
      </c>
      <c r="E10" s="1">
        <v>40.0</v>
      </c>
      <c r="F10" s="1">
        <v>100.0</v>
      </c>
      <c r="G10" s="1">
        <v>100.0</v>
      </c>
      <c r="H10" s="1">
        <v>60.0</v>
      </c>
      <c r="I10" s="5">
        <v>12.0</v>
      </c>
      <c r="J10" s="5">
        <f t="shared" si="2"/>
        <v>312</v>
      </c>
    </row>
    <row r="11" ht="15.75" customHeight="1">
      <c r="A11" s="4" t="s">
        <v>16</v>
      </c>
      <c r="B11" s="1" t="s">
        <v>19</v>
      </c>
      <c r="C11" s="1">
        <v>36.0</v>
      </c>
      <c r="D11" s="1">
        <v>22.0</v>
      </c>
      <c r="E11" s="4">
        <v>0.0</v>
      </c>
      <c r="F11" s="1">
        <v>100.0</v>
      </c>
      <c r="G11" s="1">
        <v>100.0</v>
      </c>
      <c r="H11" s="1">
        <v>80.0</v>
      </c>
      <c r="I11" s="5">
        <v>40.0</v>
      </c>
      <c r="J11" s="5">
        <f t="shared" si="2"/>
        <v>320</v>
      </c>
    </row>
    <row r="12" ht="15.75" customHeight="1">
      <c r="A12" s="4" t="s">
        <v>16</v>
      </c>
      <c r="B12" s="1" t="s">
        <v>20</v>
      </c>
      <c r="C12" s="1">
        <v>36.0</v>
      </c>
      <c r="D12" s="1">
        <v>18.0</v>
      </c>
      <c r="E12" s="1">
        <v>0.0</v>
      </c>
      <c r="F12" s="1">
        <v>80.0</v>
      </c>
      <c r="G12" s="1">
        <v>80.0</v>
      </c>
      <c r="H12" s="1">
        <v>50.0</v>
      </c>
      <c r="I12" s="5">
        <v>22.0</v>
      </c>
      <c r="J12" s="5">
        <f t="shared" si="2"/>
        <v>232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