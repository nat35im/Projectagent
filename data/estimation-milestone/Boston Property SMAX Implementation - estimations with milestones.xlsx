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4"/>
    <sheet state="visible" name="Travel &amp; Expense" sheetId="2" r:id="rId5"/>
    <sheet state="visible" name="Other Costs" sheetId="3" r:id="rId6"/>
  </sheets>
  <definedNames/>
  <calcPr/>
  <extLst>
    <ext uri="GoogleSheetsCustomDataVersion2">
      <go:sheetsCustomData xmlns:go="http://customooxmlschemas.google.com/" r:id="rId7" roundtripDataChecksum="mrmNf4exmhqzY7v4oyzx9rSqp5Q77CZ8QIioMzg4wRM="/>
    </ext>
  </extLst>
</workbook>
</file>

<file path=xl/sharedStrings.xml><?xml version="1.0" encoding="utf-8"?>
<sst xmlns="http://schemas.openxmlformats.org/spreadsheetml/2006/main" count="325" uniqueCount="51">
  <si>
    <t>Resource</t>
  </si>
  <si>
    <t>Speciality</t>
  </si>
  <si>
    <t>Notes</t>
  </si>
  <si>
    <t>Hours</t>
  </si>
  <si>
    <t>Effort Needs</t>
  </si>
  <si>
    <t>List Price</t>
  </si>
  <si>
    <t>Adjusted Rate</t>
  </si>
  <si>
    <t>Total Fees</t>
  </si>
  <si>
    <t>Cost</t>
  </si>
  <si>
    <t>Total Cost</t>
  </si>
  <si>
    <t>Billable</t>
  </si>
  <si>
    <t>MONTH</t>
  </si>
  <si>
    <t/>
  </si>
  <si>
    <t>PHASE</t>
  </si>
  <si>
    <t>MILESTONE</t>
  </si>
  <si>
    <t>PO Issue, 15/04/2026, Invoicing, SGD 34750.00</t>
  </si>
  <si>
    <t>P1-Design complete, 01/05/2026, Invoicing, SGD 13900.00</t>
  </si>
  <si>
    <t>P1- Basic modules complete, 01/06/2026, Invoicing, SGD 27800.00</t>
  </si>
  <si>
    <t>P1- Acceptance complete, 01/07/2026, Invoicing, SGD 20850.00</t>
  </si>
  <si>
    <t>P2- Acceptance complete, 16/08/2026, Invoicing, SGD 13900.00</t>
  </si>
  <si>
    <t>m1-rev, 30/04/2026, Revenue, SGD 34750.00</t>
  </si>
  <si>
    <t>m2-rev, 31/05/2026, Revenue, SGD 13900.00</t>
  </si>
  <si>
    <t>m3-rev, 30/06/2026, Revenue, SGD 27800.00</t>
  </si>
  <si>
    <t>P2-Integrations complete, 31/07/2026, Invoicing, SGD 27800.00</t>
  </si>
  <si>
    <t>m5-rev, 31/08/2026, Revenue, SGD 13900.00</t>
  </si>
  <si>
    <t>m4-rev, 31/07/2026, Revenue, SGD 48650.00</t>
  </si>
  <si>
    <t>EFFORT NEEDS PER PHASE</t>
  </si>
  <si>
    <t>HOURS PER PHASE</t>
  </si>
  <si>
    <t>TOTAL HOURS PER MONTH</t>
  </si>
  <si>
    <t>Customer Proj/Prgm Mgr - Sr. Consultant (Singapore)</t>
  </si>
  <si>
    <t>Local PM (Joseph)</t>
  </si>
  <si>
    <t>Yes</t>
  </si>
  <si>
    <t>Info Systems Architect - Sr. Consultant (GDC India)</t>
  </si>
  <si>
    <t>GDC SA</t>
  </si>
  <si>
    <t>Technology Consultant - Consultant (Singapore)</t>
  </si>
  <si>
    <t>INT1 GDC TC (Trishten)</t>
  </si>
  <si>
    <t>Technology Consultant - Sr. Consultant (GDC India)</t>
  </si>
  <si>
    <t>SPE1</t>
  </si>
  <si>
    <t>SPE2</t>
  </si>
  <si>
    <t>Technology Consultant - Consultant (GDC India)</t>
  </si>
  <si>
    <t>INT2</t>
  </si>
  <si>
    <t>INT3</t>
  </si>
  <si>
    <t>INT4</t>
  </si>
  <si>
    <t>Total</t>
  </si>
  <si>
    <t>Billable Cost</t>
  </si>
  <si>
    <t>Non Billable Cost</t>
  </si>
  <si>
    <t>COST PER PHASE (SGD)</t>
  </si>
  <si>
    <t>COST PER MONTH (SGD)</t>
  </si>
  <si>
    <t>Other Cost</t>
  </si>
  <si>
    <t>Total Costs</t>
  </si>
  <si>
    <t>Risk Cost - Risk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</si>
</sst>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1.0"/>
      <color rgb="FF000000"/>
      <name val="Calibri"/>
      <scheme val="minor"/>
    </font>
    <font>
      <sz val="10.0"/>
      <color rgb="FF54698D"/>
      <name val="Arial"/>
    </font>
    <font>
      <sz val="10.0"/>
      <color rgb="FF000000"/>
      <name val="Arial"/>
    </font>
    <font>
      <sz val="10.0"/>
      <color rgb="FFFFFFFF"/>
      <name val="Arial"/>
    </font>
    <font>
      <sz val="10.0"/>
      <color rgb="FF16325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  <fill>
      <patternFill patternType="solid">
        <fgColor rgb="FF54698D"/>
        <bgColor rgb="FF54698D"/>
      </patternFill>
    </fill>
    <fill>
      <patternFill patternType="solid">
        <fgColor rgb="FFA8B7C7"/>
        <bgColor rgb="FFA8B7C7"/>
      </patternFill>
    </fill>
    <fill>
      <patternFill patternType="solid">
        <fgColor rgb="FFD8DDE6"/>
        <bgColor rgb="FFD8DDE6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3" fontId="2" numFmtId="2" xfId="0" applyAlignment="1" applyBorder="1" applyFill="1" applyFont="1" applyNumberFormat="1">
      <alignment horizontal="left"/>
    </xf>
    <xf borderId="1" fillId="3" fontId="2" numFmtId="2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4" fontId="3" numFmtId="2" xfId="0" applyAlignment="1" applyBorder="1" applyFill="1" applyFont="1" applyNumberFormat="1">
      <alignment horizontal="left"/>
    </xf>
    <xf borderId="1" fillId="4" fontId="3" numFmtId="2" xfId="0" applyAlignment="1" applyBorder="1" applyFont="1" applyNumberFormat="1">
      <alignment horizontal="center"/>
    </xf>
    <xf borderId="1" fillId="5" fontId="3" numFmtId="2" xfId="0" applyAlignment="1" applyBorder="1" applyFill="1" applyFont="1" applyNumberFormat="1">
      <alignment horizontal="left"/>
    </xf>
    <xf borderId="1" fillId="5" fontId="3" numFmtId="2" xfId="0" applyAlignment="1" applyBorder="1" applyFont="1" applyNumberFormat="1">
      <alignment horizontal="center"/>
    </xf>
    <xf borderId="1" fillId="6" fontId="4" numFmtId="2" xfId="0" applyAlignment="1" applyBorder="1" applyFill="1" applyFont="1" applyNumberFormat="1">
      <alignment horizontal="left"/>
    </xf>
    <xf borderId="1" fillId="6" fontId="4" numFmtId="2" xfId="0" applyAlignment="1" applyBorder="1" applyFont="1" applyNumberFormat="1">
      <alignment horizontal="center"/>
    </xf>
    <xf borderId="1" fillId="3" fontId="2" numFmtId="2" xfId="0" applyAlignment="1" applyBorder="1" applyFont="1" applyNumberFormat="1">
      <alignment horizontal="left" shrinkToFit="0" wrapText="1"/>
    </xf>
    <xf borderId="1" fillId="3" fontId="2" numFmtId="0" xfId="0" applyAlignment="1" applyBorder="1" applyFont="1">
      <alignment horizontal="center" shrinkToFit="0" wrapText="1"/>
    </xf>
    <xf borderId="1" fillId="3" fontId="2" numFmtId="2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5.0"/>
    <col customWidth="1" min="4" max="16" width="9.14"/>
    <col customWidth="1" min="17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2">
        <v>46113.0</v>
      </c>
      <c r="E1" s="2">
        <v>46143.0</v>
      </c>
      <c r="F1" s="2">
        <v>46174.0</v>
      </c>
      <c r="G1" s="2">
        <v>46204.0</v>
      </c>
      <c r="H1" s="2">
        <v>46235.0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ht="14.25" customHeight="1">
      <c r="A2" s="3" t="s">
        <v>11</v>
      </c>
      <c r="B2" s="3" t="s">
        <v>12</v>
      </c>
      <c r="C2" s="3" t="s">
        <v>12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</row>
    <row r="3" ht="14.25" customHeight="1">
      <c r="A3" s="3" t="s">
        <v>13</v>
      </c>
      <c r="B3" s="3" t="s">
        <v>12</v>
      </c>
      <c r="C3" s="3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</row>
    <row r="4" ht="14.25" customHeight="1">
      <c r="A4" s="3" t="s">
        <v>14</v>
      </c>
      <c r="B4" s="3" t="s">
        <v>12</v>
      </c>
      <c r="C4" s="3" t="s">
        <v>12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</row>
    <row r="5" ht="14.25" customHeight="1">
      <c r="A5" s="3" t="s">
        <v>12</v>
      </c>
      <c r="B5" s="3" t="s">
        <v>12</v>
      </c>
      <c r="C5" s="3" t="s">
        <v>12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</row>
    <row r="6" ht="14.25" customHeight="1">
      <c r="A6" s="3" t="s">
        <v>12</v>
      </c>
      <c r="B6" s="3" t="s">
        <v>12</v>
      </c>
      <c r="C6" s="3" t="s">
        <v>12</v>
      </c>
      <c r="D6" s="5" t="s">
        <v>12</v>
      </c>
      <c r="E6" s="5" t="s">
        <v>12</v>
      </c>
      <c r="F6" s="5" t="s">
        <v>12</v>
      </c>
      <c r="G6" s="6" t="s">
        <v>25</v>
      </c>
      <c r="H6" s="5" t="s">
        <v>12</v>
      </c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  <c r="N6" s="4" t="s">
        <v>12</v>
      </c>
      <c r="O6" s="4" t="s">
        <v>12</v>
      </c>
      <c r="P6" s="4" t="s">
        <v>12</v>
      </c>
    </row>
    <row r="7" ht="14.25" customHeight="1">
      <c r="A7" s="7" t="s">
        <v>26</v>
      </c>
      <c r="B7" s="7" t="s">
        <v>12</v>
      </c>
      <c r="C7" s="7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  <c r="J7" s="8" t="s">
        <v>12</v>
      </c>
      <c r="K7" s="8" t="s">
        <v>12</v>
      </c>
      <c r="L7" s="8" t="s">
        <v>12</v>
      </c>
      <c r="M7" s="8" t="s">
        <v>12</v>
      </c>
      <c r="N7" s="8" t="s">
        <v>12</v>
      </c>
      <c r="O7" s="8" t="s">
        <v>12</v>
      </c>
      <c r="P7" s="8" t="s">
        <v>12</v>
      </c>
    </row>
    <row r="8" ht="14.25" customHeight="1">
      <c r="A8" s="9" t="s">
        <v>27</v>
      </c>
      <c r="B8" s="9" t="s">
        <v>12</v>
      </c>
      <c r="C8" s="9" t="s">
        <v>12</v>
      </c>
      <c r="D8" s="10" t="s">
        <v>12</v>
      </c>
      <c r="E8" s="10" t="s">
        <v>12</v>
      </c>
      <c r="F8" s="10" t="s">
        <v>12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  <c r="M8" s="10" t="s">
        <v>12</v>
      </c>
      <c r="N8" s="10" t="s">
        <v>12</v>
      </c>
      <c r="O8" s="10" t="s">
        <v>12</v>
      </c>
      <c r="P8" s="10" t="s">
        <v>12</v>
      </c>
    </row>
    <row r="9" ht="14.25" customHeight="1">
      <c r="A9" s="11" t="s">
        <v>28</v>
      </c>
      <c r="B9" s="11" t="s">
        <v>12</v>
      </c>
      <c r="C9" s="11" t="s">
        <v>12</v>
      </c>
      <c r="D9" s="12">
        <f t="shared" ref="D9:H9" si="1">SUM(D10:D18)</f>
        <v>240</v>
      </c>
      <c r="E9" s="12">
        <f t="shared" si="1"/>
        <v>652</v>
      </c>
      <c r="F9" s="12">
        <f t="shared" si="1"/>
        <v>788</v>
      </c>
      <c r="G9" s="12">
        <f t="shared" si="1"/>
        <v>380</v>
      </c>
      <c r="H9" s="12">
        <f t="shared" si="1"/>
        <v>372</v>
      </c>
      <c r="I9" s="12">
        <f t="shared" ref="I9:I17" si="2">SUM(D9:H9)</f>
        <v>2432</v>
      </c>
      <c r="J9" s="12" t="s">
        <v>12</v>
      </c>
      <c r="K9" s="12" t="s">
        <v>12</v>
      </c>
      <c r="L9" s="12" t="s">
        <v>12</v>
      </c>
      <c r="M9" s="12">
        <f>SUM(M10:M18)</f>
        <v>198114.24</v>
      </c>
      <c r="N9" s="12" t="s">
        <v>12</v>
      </c>
      <c r="O9" s="12">
        <f>SUM(O10:O18)</f>
        <v>94913.92</v>
      </c>
      <c r="P9" s="12" t="s">
        <v>12</v>
      </c>
    </row>
    <row r="10" ht="14.25" customHeight="1">
      <c r="A10" s="3" t="s">
        <v>29</v>
      </c>
      <c r="B10" s="3" t="s">
        <v>12</v>
      </c>
      <c r="C10" s="3" t="s">
        <v>30</v>
      </c>
      <c r="D10" s="4">
        <v>40.0</v>
      </c>
      <c r="E10" s="4">
        <v>20.0</v>
      </c>
      <c r="F10" s="4">
        <v>20.0</v>
      </c>
      <c r="G10" s="4">
        <v>20.0</v>
      </c>
      <c r="H10" s="4">
        <v>20.0</v>
      </c>
      <c r="I10" s="4">
        <f t="shared" si="2"/>
        <v>120</v>
      </c>
      <c r="J10" s="4">
        <v>0.0</v>
      </c>
      <c r="K10" s="4">
        <v>253.0</v>
      </c>
      <c r="L10" s="4">
        <v>253.0</v>
      </c>
      <c r="M10" s="4">
        <f t="shared" ref="M10:M17" si="3">I10*L10</f>
        <v>30360</v>
      </c>
      <c r="N10" s="4">
        <v>125.0</v>
      </c>
      <c r="O10" s="4">
        <f t="shared" ref="O10:O17" si="4">I10*N10</f>
        <v>15000</v>
      </c>
      <c r="P10" s="5" t="s">
        <v>31</v>
      </c>
    </row>
    <row r="11" ht="14.25" customHeight="1">
      <c r="A11" s="3" t="s">
        <v>32</v>
      </c>
      <c r="B11" s="3" t="s">
        <v>12</v>
      </c>
      <c r="C11" s="3" t="s">
        <v>33</v>
      </c>
      <c r="D11" s="4">
        <v>80.0</v>
      </c>
      <c r="E11" s="4">
        <v>80.0</v>
      </c>
      <c r="F11" s="4">
        <v>80.0</v>
      </c>
      <c r="G11" s="4">
        <v>40.0</v>
      </c>
      <c r="H11" s="4">
        <v>40.0</v>
      </c>
      <c r="I11" s="4">
        <f t="shared" si="2"/>
        <v>320</v>
      </c>
      <c r="J11" s="4">
        <v>0.0</v>
      </c>
      <c r="K11" s="4">
        <v>63.45277364322565</v>
      </c>
      <c r="L11" s="4">
        <v>63.45</v>
      </c>
      <c r="M11" s="4">
        <f t="shared" si="3"/>
        <v>20304</v>
      </c>
      <c r="N11" s="4">
        <v>31.73</v>
      </c>
      <c r="O11" s="4">
        <f t="shared" si="4"/>
        <v>10153.6</v>
      </c>
      <c r="P11" s="5" t="s">
        <v>31</v>
      </c>
    </row>
    <row r="12" ht="14.25" customHeight="1">
      <c r="A12" s="3" t="s">
        <v>34</v>
      </c>
      <c r="B12" s="3" t="s">
        <v>12</v>
      </c>
      <c r="C12" s="3" t="s">
        <v>35</v>
      </c>
      <c r="D12" s="4">
        <v>40.0</v>
      </c>
      <c r="E12" s="4">
        <v>160.0</v>
      </c>
      <c r="F12" s="4">
        <v>160.0</v>
      </c>
      <c r="G12" s="4">
        <v>0.0</v>
      </c>
      <c r="H12" s="4">
        <v>0.0</v>
      </c>
      <c r="I12" s="4">
        <f t="shared" si="2"/>
        <v>360</v>
      </c>
      <c r="J12" s="4">
        <v>0.0</v>
      </c>
      <c r="K12" s="4">
        <v>186.0</v>
      </c>
      <c r="L12" s="4">
        <v>186.0</v>
      </c>
      <c r="M12" s="4">
        <f t="shared" si="3"/>
        <v>66960</v>
      </c>
      <c r="N12" s="4">
        <v>82.0</v>
      </c>
      <c r="O12" s="4">
        <f t="shared" si="4"/>
        <v>29520</v>
      </c>
      <c r="P12" s="5" t="s">
        <v>31</v>
      </c>
    </row>
    <row r="13" ht="14.25" customHeight="1">
      <c r="A13" s="3" t="s">
        <v>36</v>
      </c>
      <c r="B13" s="3" t="s">
        <v>12</v>
      </c>
      <c r="C13" s="3" t="s">
        <v>37</v>
      </c>
      <c r="D13" s="4">
        <v>80.0</v>
      </c>
      <c r="E13" s="4">
        <v>160.0</v>
      </c>
      <c r="F13" s="4">
        <v>168.0</v>
      </c>
      <c r="G13" s="4">
        <v>0.0</v>
      </c>
      <c r="H13" s="4">
        <v>0.0</v>
      </c>
      <c r="I13" s="4">
        <f t="shared" si="2"/>
        <v>408</v>
      </c>
      <c r="J13" s="4">
        <v>0.0</v>
      </c>
      <c r="K13" s="4">
        <v>63.45277364322565</v>
      </c>
      <c r="L13" s="4">
        <v>63.45</v>
      </c>
      <c r="M13" s="4">
        <f t="shared" si="3"/>
        <v>25887.6</v>
      </c>
      <c r="N13" s="4">
        <v>31.73</v>
      </c>
      <c r="O13" s="4">
        <f t="shared" si="4"/>
        <v>12945.84</v>
      </c>
      <c r="P13" s="5" t="s">
        <v>31</v>
      </c>
    </row>
    <row r="14" ht="14.25" customHeight="1">
      <c r="A14" s="3" t="s">
        <v>36</v>
      </c>
      <c r="B14" s="3" t="s">
        <v>12</v>
      </c>
      <c r="C14" s="3" t="s">
        <v>38</v>
      </c>
      <c r="D14" s="4">
        <v>0.0</v>
      </c>
      <c r="E14" s="4">
        <v>0.0</v>
      </c>
      <c r="F14" s="4">
        <v>40.0</v>
      </c>
      <c r="G14" s="4">
        <v>160.0</v>
      </c>
      <c r="H14" s="4">
        <v>160.0</v>
      </c>
      <c r="I14" s="4">
        <f t="shared" si="2"/>
        <v>360</v>
      </c>
      <c r="J14" s="4">
        <v>0.0</v>
      </c>
      <c r="K14" s="4">
        <v>63.45277364322565</v>
      </c>
      <c r="L14" s="4">
        <v>63.45</v>
      </c>
      <c r="M14" s="4">
        <f t="shared" si="3"/>
        <v>22842</v>
      </c>
      <c r="N14" s="4">
        <v>31.73</v>
      </c>
      <c r="O14" s="4">
        <f t="shared" si="4"/>
        <v>11422.8</v>
      </c>
      <c r="P14" s="5" t="s">
        <v>31</v>
      </c>
    </row>
    <row r="15" ht="14.25" customHeight="1">
      <c r="A15" s="3" t="s">
        <v>39</v>
      </c>
      <c r="B15" s="3" t="s">
        <v>12</v>
      </c>
      <c r="C15" s="3" t="s">
        <v>40</v>
      </c>
      <c r="D15" s="4">
        <v>0.0</v>
      </c>
      <c r="E15" s="4">
        <v>0.0</v>
      </c>
      <c r="F15" s="4">
        <v>0.0</v>
      </c>
      <c r="G15" s="4">
        <v>160.0</v>
      </c>
      <c r="H15" s="4">
        <v>152.0</v>
      </c>
      <c r="I15" s="4">
        <f t="shared" si="2"/>
        <v>312</v>
      </c>
      <c r="J15" s="4">
        <v>0.0</v>
      </c>
      <c r="K15" s="4">
        <v>36.75716938667675</v>
      </c>
      <c r="L15" s="4">
        <v>36.76</v>
      </c>
      <c r="M15" s="4">
        <f t="shared" si="3"/>
        <v>11469.12</v>
      </c>
      <c r="N15" s="4">
        <v>18.37</v>
      </c>
      <c r="O15" s="4">
        <f t="shared" si="4"/>
        <v>5731.44</v>
      </c>
      <c r="P15" s="5" t="s">
        <v>31</v>
      </c>
    </row>
    <row r="16" ht="14.25" customHeight="1">
      <c r="A16" s="3" t="s">
        <v>39</v>
      </c>
      <c r="B16" s="3" t="s">
        <v>12</v>
      </c>
      <c r="C16" s="3" t="s">
        <v>41</v>
      </c>
      <c r="D16" s="4">
        <v>0.0</v>
      </c>
      <c r="E16" s="4">
        <v>160.0</v>
      </c>
      <c r="F16" s="4">
        <v>160.0</v>
      </c>
      <c r="G16" s="4">
        <v>0.0</v>
      </c>
      <c r="H16" s="4">
        <v>0.0</v>
      </c>
      <c r="I16" s="4">
        <f t="shared" si="2"/>
        <v>320</v>
      </c>
      <c r="J16" s="4">
        <v>0.0</v>
      </c>
      <c r="K16" s="4">
        <v>36.75716938667675</v>
      </c>
      <c r="L16" s="4">
        <v>36.76</v>
      </c>
      <c r="M16" s="4">
        <f t="shared" si="3"/>
        <v>11763.2</v>
      </c>
      <c r="N16" s="4">
        <v>18.37</v>
      </c>
      <c r="O16" s="4">
        <f t="shared" si="4"/>
        <v>5878.4</v>
      </c>
      <c r="P16" s="5" t="s">
        <v>31</v>
      </c>
    </row>
    <row r="17" ht="14.25" customHeight="1">
      <c r="A17" s="3" t="s">
        <v>39</v>
      </c>
      <c r="B17" s="3" t="s">
        <v>12</v>
      </c>
      <c r="C17" s="3" t="s">
        <v>42</v>
      </c>
      <c r="D17" s="4">
        <v>0.0</v>
      </c>
      <c r="E17" s="4">
        <v>72.0</v>
      </c>
      <c r="F17" s="4">
        <v>160.0</v>
      </c>
      <c r="G17" s="4">
        <v>0.0</v>
      </c>
      <c r="H17" s="4">
        <v>0.0</v>
      </c>
      <c r="I17" s="4">
        <f t="shared" si="2"/>
        <v>232</v>
      </c>
      <c r="J17" s="4">
        <v>0.0</v>
      </c>
      <c r="K17" s="4">
        <v>36.75716938667675</v>
      </c>
      <c r="L17" s="4">
        <v>36.76</v>
      </c>
      <c r="M17" s="4">
        <f t="shared" si="3"/>
        <v>8528.32</v>
      </c>
      <c r="N17" s="4">
        <v>18.37</v>
      </c>
      <c r="O17" s="4">
        <f t="shared" si="4"/>
        <v>4261.84</v>
      </c>
      <c r="P17" s="5" t="s">
        <v>31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5.0"/>
    <col customWidth="1" min="3" max="3" width="22.86"/>
    <col customWidth="1" min="4" max="4" width="18.71"/>
    <col customWidth="1" min="5" max="5" width="18.29"/>
    <col customWidth="1" min="6" max="6" width="18.71"/>
    <col customWidth="1" min="7" max="7" width="19.14"/>
    <col customWidth="1" min="8" max="12" width="9.14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>
        <v>46113.0</v>
      </c>
      <c r="E1" s="2">
        <v>46143.0</v>
      </c>
      <c r="F1" s="2">
        <v>46174.0</v>
      </c>
      <c r="G1" s="2">
        <v>46204.0</v>
      </c>
      <c r="H1" s="2">
        <v>46235.0</v>
      </c>
      <c r="I1" s="1" t="s">
        <v>43</v>
      </c>
      <c r="J1" s="1" t="s">
        <v>44</v>
      </c>
      <c r="K1" s="1" t="s">
        <v>45</v>
      </c>
      <c r="L1" s="1" t="s">
        <v>10</v>
      </c>
    </row>
    <row r="2" ht="14.25" customHeight="1">
      <c r="A2" s="3" t="s">
        <v>11</v>
      </c>
      <c r="B2" s="3" t="s">
        <v>12</v>
      </c>
      <c r="C2" s="3" t="s">
        <v>12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4" t="s">
        <v>12</v>
      </c>
      <c r="J2" s="4" t="s">
        <v>12</v>
      </c>
      <c r="K2" s="4" t="s">
        <v>12</v>
      </c>
      <c r="L2" s="4" t="s">
        <v>12</v>
      </c>
    </row>
    <row r="3" ht="14.25" customHeight="1">
      <c r="A3" s="3" t="s">
        <v>13</v>
      </c>
      <c r="B3" s="3" t="s">
        <v>12</v>
      </c>
      <c r="C3" s="13" t="s">
        <v>12</v>
      </c>
      <c r="D3" s="14" t="s">
        <v>12</v>
      </c>
      <c r="E3" s="14" t="s">
        <v>12</v>
      </c>
      <c r="F3" s="14" t="s">
        <v>12</v>
      </c>
      <c r="G3" s="14" t="s">
        <v>12</v>
      </c>
      <c r="H3" s="14" t="s">
        <v>12</v>
      </c>
      <c r="I3" s="15" t="s">
        <v>12</v>
      </c>
      <c r="J3" s="15" t="s">
        <v>12</v>
      </c>
      <c r="K3" s="15" t="s">
        <v>12</v>
      </c>
      <c r="L3" s="4" t="s">
        <v>12</v>
      </c>
    </row>
    <row r="4" ht="14.25" customHeight="1">
      <c r="A4" s="3" t="s">
        <v>14</v>
      </c>
      <c r="B4" s="3" t="s">
        <v>12</v>
      </c>
      <c r="C4" s="13" t="s">
        <v>12</v>
      </c>
      <c r="D4" s="16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5" t="s">
        <v>12</v>
      </c>
      <c r="J4" s="15" t="s">
        <v>12</v>
      </c>
      <c r="K4" s="15" t="s">
        <v>12</v>
      </c>
      <c r="L4" s="4" t="s">
        <v>12</v>
      </c>
    </row>
    <row r="5" ht="14.25" customHeight="1">
      <c r="A5" s="3" t="s">
        <v>12</v>
      </c>
      <c r="B5" s="3" t="s">
        <v>12</v>
      </c>
      <c r="C5" s="13" t="s">
        <v>12</v>
      </c>
      <c r="D5" s="16" t="s">
        <v>20</v>
      </c>
      <c r="E5" s="16" t="s">
        <v>21</v>
      </c>
      <c r="F5" s="16" t="s">
        <v>22</v>
      </c>
      <c r="G5" s="16" t="s">
        <v>23</v>
      </c>
      <c r="H5" s="16" t="s">
        <v>24</v>
      </c>
      <c r="I5" s="15" t="s">
        <v>12</v>
      </c>
      <c r="J5" s="15" t="s">
        <v>12</v>
      </c>
      <c r="K5" s="15" t="s">
        <v>12</v>
      </c>
      <c r="L5" s="4" t="s">
        <v>12</v>
      </c>
    </row>
    <row r="6" ht="14.25" customHeight="1">
      <c r="A6" s="3" t="s">
        <v>12</v>
      </c>
      <c r="B6" s="3" t="s">
        <v>12</v>
      </c>
      <c r="C6" s="13" t="s">
        <v>12</v>
      </c>
      <c r="D6" s="14" t="s">
        <v>12</v>
      </c>
      <c r="E6" s="14" t="s">
        <v>12</v>
      </c>
      <c r="F6" s="14" t="s">
        <v>12</v>
      </c>
      <c r="G6" s="16" t="s">
        <v>25</v>
      </c>
      <c r="H6" s="14" t="s">
        <v>12</v>
      </c>
      <c r="I6" s="15" t="s">
        <v>12</v>
      </c>
      <c r="J6" s="15" t="s">
        <v>12</v>
      </c>
      <c r="K6" s="15" t="s">
        <v>12</v>
      </c>
      <c r="L6" s="4" t="s">
        <v>12</v>
      </c>
    </row>
    <row r="7" ht="14.25" customHeight="1">
      <c r="A7" s="9" t="s">
        <v>46</v>
      </c>
      <c r="B7" s="9" t="s">
        <v>12</v>
      </c>
      <c r="C7" s="9" t="s">
        <v>12</v>
      </c>
      <c r="D7" s="10" t="s">
        <v>12</v>
      </c>
      <c r="E7" s="10" t="s">
        <v>12</v>
      </c>
      <c r="F7" s="10" t="s">
        <v>12</v>
      </c>
      <c r="G7" s="10" t="s">
        <v>12</v>
      </c>
      <c r="H7" s="10" t="s">
        <v>12</v>
      </c>
      <c r="I7" s="10" t="s">
        <v>12</v>
      </c>
      <c r="J7" s="10" t="s">
        <v>12</v>
      </c>
      <c r="K7" s="10" t="s">
        <v>12</v>
      </c>
      <c r="L7" s="10" t="s">
        <v>12</v>
      </c>
    </row>
    <row r="8" ht="14.25" customHeight="1">
      <c r="A8" s="11" t="s">
        <v>47</v>
      </c>
      <c r="B8" s="11" t="s">
        <v>12</v>
      </c>
      <c r="C8" s="11" t="s">
        <v>12</v>
      </c>
      <c r="D8" s="12">
        <f t="shared" ref="D8:H8" si="1">SUM(D9:D17)</f>
        <v>0</v>
      </c>
      <c r="E8" s="12">
        <f t="shared" si="1"/>
        <v>0</v>
      </c>
      <c r="F8" s="12">
        <f t="shared" si="1"/>
        <v>0</v>
      </c>
      <c r="G8" s="12">
        <f t="shared" si="1"/>
        <v>0</v>
      </c>
      <c r="H8" s="12">
        <f t="shared" si="1"/>
        <v>0</v>
      </c>
      <c r="I8" s="12">
        <f t="shared" ref="I8:I16" si="3">SUM(D8:H8)</f>
        <v>0</v>
      </c>
      <c r="J8" s="12">
        <f t="shared" ref="J8:K8" si="2">SUM(J9:J17)</f>
        <v>0</v>
      </c>
      <c r="K8" s="12">
        <f t="shared" si="2"/>
        <v>0</v>
      </c>
      <c r="L8" s="12" t="s">
        <v>12</v>
      </c>
    </row>
    <row r="9" ht="14.25" customHeight="1">
      <c r="A9" s="3" t="s">
        <v>29</v>
      </c>
      <c r="B9" s="3" t="s">
        <v>12</v>
      </c>
      <c r="C9" s="3" t="s">
        <v>30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f t="shared" si="3"/>
        <v>0</v>
      </c>
      <c r="J9" s="4">
        <f t="shared" ref="J9:J16" si="4">SUM(D9:H9)</f>
        <v>0</v>
      </c>
      <c r="K9" s="4">
        <v>0.0</v>
      </c>
      <c r="L9" s="5" t="s">
        <v>31</v>
      </c>
    </row>
    <row r="10" ht="14.25" customHeight="1">
      <c r="A10" s="3" t="s">
        <v>32</v>
      </c>
      <c r="B10" s="3" t="s">
        <v>12</v>
      </c>
      <c r="C10" s="3" t="s">
        <v>33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f t="shared" si="3"/>
        <v>0</v>
      </c>
      <c r="J10" s="4">
        <f t="shared" si="4"/>
        <v>0</v>
      </c>
      <c r="K10" s="4">
        <v>0.0</v>
      </c>
      <c r="L10" s="5" t="s">
        <v>31</v>
      </c>
    </row>
    <row r="11" ht="14.25" customHeight="1">
      <c r="A11" s="3" t="s">
        <v>34</v>
      </c>
      <c r="B11" s="3" t="s">
        <v>12</v>
      </c>
      <c r="C11" s="3" t="s">
        <v>35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f t="shared" si="3"/>
        <v>0</v>
      </c>
      <c r="J11" s="4">
        <f t="shared" si="4"/>
        <v>0</v>
      </c>
      <c r="K11" s="4">
        <v>0.0</v>
      </c>
      <c r="L11" s="5" t="s">
        <v>31</v>
      </c>
    </row>
    <row r="12" ht="14.25" customHeight="1">
      <c r="A12" s="3" t="s">
        <v>36</v>
      </c>
      <c r="B12" s="3" t="s">
        <v>12</v>
      </c>
      <c r="C12" s="3" t="s">
        <v>37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f t="shared" si="3"/>
        <v>0</v>
      </c>
      <c r="J12" s="4">
        <f t="shared" si="4"/>
        <v>0</v>
      </c>
      <c r="K12" s="4">
        <v>0.0</v>
      </c>
      <c r="L12" s="5" t="s">
        <v>31</v>
      </c>
    </row>
    <row r="13" ht="14.25" customHeight="1">
      <c r="A13" s="3" t="s">
        <v>36</v>
      </c>
      <c r="B13" s="3" t="s">
        <v>12</v>
      </c>
      <c r="C13" s="3" t="s">
        <v>38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f t="shared" si="3"/>
        <v>0</v>
      </c>
      <c r="J13" s="4">
        <f t="shared" si="4"/>
        <v>0</v>
      </c>
      <c r="K13" s="4">
        <v>0.0</v>
      </c>
      <c r="L13" s="5" t="s">
        <v>31</v>
      </c>
    </row>
    <row r="14" ht="14.25" customHeight="1">
      <c r="A14" s="3" t="s">
        <v>39</v>
      </c>
      <c r="B14" s="3" t="s">
        <v>12</v>
      </c>
      <c r="C14" s="3" t="s">
        <v>40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f t="shared" si="3"/>
        <v>0</v>
      </c>
      <c r="J14" s="4">
        <f t="shared" si="4"/>
        <v>0</v>
      </c>
      <c r="K14" s="4">
        <v>0.0</v>
      </c>
      <c r="L14" s="5" t="s">
        <v>31</v>
      </c>
    </row>
    <row r="15" ht="14.25" customHeight="1">
      <c r="A15" s="3" t="s">
        <v>39</v>
      </c>
      <c r="B15" s="3" t="s">
        <v>12</v>
      </c>
      <c r="C15" s="3" t="s">
        <v>41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f t="shared" si="3"/>
        <v>0</v>
      </c>
      <c r="J15" s="4">
        <f t="shared" si="4"/>
        <v>0</v>
      </c>
      <c r="K15" s="4">
        <v>0.0</v>
      </c>
      <c r="L15" s="5" t="s">
        <v>31</v>
      </c>
    </row>
    <row r="16" ht="14.25" customHeight="1">
      <c r="A16" s="3" t="s">
        <v>39</v>
      </c>
      <c r="B16" s="3" t="s">
        <v>12</v>
      </c>
      <c r="C16" s="3" t="s">
        <v>42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f t="shared" si="3"/>
        <v>0</v>
      </c>
      <c r="J16" s="4">
        <f t="shared" si="4"/>
        <v>0</v>
      </c>
      <c r="K16" s="4">
        <v>0.0</v>
      </c>
      <c r="L16" s="5" t="s">
        <v>31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9" width="9.14"/>
    <col customWidth="1" min="10" max="26" width="8.71"/>
  </cols>
  <sheetData>
    <row r="1" ht="14.25" customHeight="1">
      <c r="A1" s="1" t="s">
        <v>48</v>
      </c>
      <c r="B1" s="2">
        <v>46113.0</v>
      </c>
      <c r="C1" s="2">
        <v>46143.0</v>
      </c>
      <c r="D1" s="2">
        <v>46174.0</v>
      </c>
      <c r="E1" s="2">
        <v>46204.0</v>
      </c>
      <c r="F1" s="2">
        <v>46235.0</v>
      </c>
      <c r="G1" s="1" t="s">
        <v>49</v>
      </c>
      <c r="H1" s="1" t="s">
        <v>7</v>
      </c>
      <c r="I1" s="1" t="s">
        <v>10</v>
      </c>
    </row>
    <row r="2" ht="14.25" customHeight="1">
      <c r="A2" s="3" t="s">
        <v>11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 t="s">
        <v>12</v>
      </c>
      <c r="H2" s="4" t="s">
        <v>12</v>
      </c>
      <c r="I2" s="4" t="s">
        <v>12</v>
      </c>
    </row>
    <row r="3" ht="14.25" customHeight="1">
      <c r="A3" s="3" t="s">
        <v>13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4" t="s">
        <v>12</v>
      </c>
      <c r="H3" s="4" t="s">
        <v>12</v>
      </c>
      <c r="I3" s="4" t="s">
        <v>12</v>
      </c>
    </row>
    <row r="4" ht="14.25" customHeight="1">
      <c r="A4" s="3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4" t="s">
        <v>12</v>
      </c>
      <c r="H4" s="4" t="s">
        <v>12</v>
      </c>
      <c r="I4" s="4" t="s">
        <v>12</v>
      </c>
    </row>
    <row r="5" ht="14.25" customHeight="1">
      <c r="A5" s="3" t="s">
        <v>12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4" t="s">
        <v>12</v>
      </c>
      <c r="H5" s="4" t="s">
        <v>12</v>
      </c>
      <c r="I5" s="4" t="s">
        <v>12</v>
      </c>
    </row>
    <row r="6" ht="14.25" customHeight="1">
      <c r="A6" s="3" t="s">
        <v>12</v>
      </c>
      <c r="B6" s="5" t="s">
        <v>12</v>
      </c>
      <c r="C6" s="5" t="s">
        <v>12</v>
      </c>
      <c r="D6" s="5" t="s">
        <v>12</v>
      </c>
      <c r="E6" s="6" t="s">
        <v>25</v>
      </c>
      <c r="F6" s="5" t="s">
        <v>12</v>
      </c>
      <c r="G6" s="4" t="s">
        <v>12</v>
      </c>
      <c r="H6" s="4" t="s">
        <v>12</v>
      </c>
      <c r="I6" s="4" t="s">
        <v>12</v>
      </c>
    </row>
    <row r="7" ht="14.25" customHeight="1">
      <c r="A7" s="9" t="s">
        <v>46</v>
      </c>
      <c r="B7" s="10" t="s">
        <v>12</v>
      </c>
      <c r="C7" s="10" t="s">
        <v>12</v>
      </c>
      <c r="D7" s="10" t="s">
        <v>12</v>
      </c>
      <c r="E7" s="10" t="s">
        <v>12</v>
      </c>
      <c r="F7" s="10" t="s">
        <v>12</v>
      </c>
      <c r="G7" s="10" t="s">
        <v>12</v>
      </c>
      <c r="H7" s="10" t="s">
        <v>12</v>
      </c>
      <c r="I7" s="10" t="s">
        <v>12</v>
      </c>
    </row>
    <row r="8" ht="14.25" customHeight="1">
      <c r="A8" s="11" t="s">
        <v>47</v>
      </c>
      <c r="B8" s="12">
        <f t="shared" ref="B8:F8" si="1">SUM(B9:B10)</f>
        <v>3000</v>
      </c>
      <c r="C8" s="12">
        <f t="shared" si="1"/>
        <v>3000</v>
      </c>
      <c r="D8" s="12">
        <f t="shared" si="1"/>
        <v>3000</v>
      </c>
      <c r="E8" s="12">
        <f t="shared" si="1"/>
        <v>0</v>
      </c>
      <c r="F8" s="12">
        <f t="shared" si="1"/>
        <v>0</v>
      </c>
      <c r="G8" s="12">
        <f t="shared" ref="G8:G9" si="2">SUM(B8:F8)</f>
        <v>9000</v>
      </c>
      <c r="H8" s="12">
        <f>SUM(H9:H10)</f>
        <v>9000</v>
      </c>
      <c r="I8" s="12" t="s">
        <v>12</v>
      </c>
    </row>
    <row r="9" ht="14.25" customHeight="1">
      <c r="A9" s="3" t="s">
        <v>50</v>
      </c>
      <c r="B9" s="4">
        <v>3000.0</v>
      </c>
      <c r="C9" s="4">
        <v>3000.0</v>
      </c>
      <c r="D9" s="4">
        <v>3000.0</v>
      </c>
      <c r="E9" s="4">
        <v>0.0</v>
      </c>
      <c r="F9" s="4">
        <v>0.0</v>
      </c>
      <c r="G9" s="4">
        <f t="shared" si="2"/>
        <v>9000</v>
      </c>
      <c r="H9" s="4">
        <f>9000</f>
        <v>9000</v>
      </c>
      <c r="I9" s="5" t="s">
        <v>31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